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D0FCBE9-21B5-4126-859E-2C108433772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ELETE" sheetId="4" r:id="rId2"/>
    <sheet name="Dataset" sheetId="2" r:id="rId3"/>
    <sheet name="REPLACE" sheetId="3" r:id="rId4"/>
  </sheets>
  <definedNames>
    <definedName name="_xlnm._FilterDatabase" localSheetId="2" hidden="1">Dataset!$A$2:$I$35</definedName>
    <definedName name="_xlnm._FilterDatabase" localSheetId="1" hidden="1">DELETE!$A$1:$F$35</definedName>
    <definedName name="_xlnm._FilterDatabase" localSheetId="3" hidden="1">REPLACE!$A$1:$F$35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2" i="3"/>
  <c r="G2" i="3" l="1" a="1"/>
  <c r="G2" i="3" s="1"/>
  <c r="H2" i="3" a="1"/>
  <c r="H2" i="3" s="1"/>
  <c r="I2" i="3" s="1"/>
  <c r="D41" i="3"/>
  <c r="D39" i="3"/>
  <c r="D37" i="3"/>
  <c r="I15" i="3" l="1"/>
  <c r="I7" i="3"/>
  <c r="I14" i="3"/>
  <c r="I6" i="3"/>
  <c r="I22" i="3"/>
  <c r="I13" i="3"/>
  <c r="I5" i="3"/>
  <c r="I21" i="3"/>
  <c r="I12" i="3"/>
  <c r="I4" i="3"/>
  <c r="F14" i="3" s="1" a="1"/>
  <c r="F14" i="3" s="1"/>
  <c r="I20" i="3"/>
  <c r="I11" i="3"/>
  <c r="I3" i="3"/>
  <c r="F13" i="3" s="1" a="1"/>
  <c r="F13" i="3" s="1"/>
  <c r="I17" i="3"/>
  <c r="I9" i="3"/>
  <c r="I16" i="3"/>
  <c r="I8" i="3"/>
  <c r="I19" i="3"/>
  <c r="I10" i="3"/>
  <c r="I1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<sst xmlns="http://schemas.openxmlformats.org/spreadsheetml/2006/main" count="537" uniqueCount="140">
  <si>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</si>
  <si>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</si>
  <si>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</si>
  <si>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</si>
  <si>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</si>
  <si>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</si>
  <si>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</si>
  <si>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</si>
  <si>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</si>
  <si>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</si>
  <si>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</si>
  <si>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</si>
  <si>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</si>
  <si>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</si>
  <si>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</si>
  <si>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</si>
  <si>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</si>
  <si>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</si>
  <si>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</si>
  <si>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</si>
  <si>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</si>
  <si>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</si>
  <si>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</si>
  <si>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</si>
  <si>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</si>
  <si>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</si>
  <si>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</si>
  <si>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</si>
  <si>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</si>
  <si>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</si>
  <si>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</si>
  <si>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</si>
  <si>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</si>
  <si>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</si>
  <si>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</si>
  <si>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</si>
  <si>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</si>
  <si>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</si>
  <si>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</si>
  <si>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</si>
  <si>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</si>
  <si>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</si>
  <si>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</si>
  <si>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</si>
  <si>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</si>
  <si>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</si>
  <si>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</si>
  <si>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</si>
  <si>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</si>
  <si>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</si>
  <si>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</si>
  <si>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</si>
  <si>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</si>
  <si>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</si>
  <si>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</si>
  <si>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</si>
  <si>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</si>
  <si>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</si>
  <si>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</si>
  <si>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</si>
  <si>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</si>
  <si>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</si>
  <si>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</si>
  <si>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</si>
  <si>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</si>
  <si>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</si>
  <si>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</si>
  <si>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</si>
  <si>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</si>
  <si>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</si>
  <si>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</si>
  <si>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</si>
  <si>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</si>
  <si>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</si>
  <si>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</si>
  <si>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</si>
  <si>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</si>
  <si>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</si>
  <si>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</si>
  <si>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</si>
  <si>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</si>
  <si>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</si>
  <si>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</si>
  <si>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</si>
  <si>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</si>
  <si>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</si>
  <si>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</si>
  <si>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</si>
  <si>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</si>
  <si>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</si>
  <si>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</si>
  <si>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</si>
  <si>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</si>
  <si>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</si>
  <si>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</si>
  <si>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</si>
  <si>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</si>
  <si>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</si>
  <si>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</si>
  <si>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</si>
  <si>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</si>
  <si>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</si>
  <si>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</si>
  <si>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</si>
  <si>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</si>
  <si>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</si>
  <si>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</si>
  <si>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</si>
  <si>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</si>
  <si>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</si>
  <si>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</si>
  <si>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</si>
  <si>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</si>
  <si>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</si>
  <si>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</si>
  <si>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</si>
  <si>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Average</t>
  </si>
  <si>
    <t>There are 2 steps for to delete null values</t>
  </si>
  <si>
    <t>delete</t>
  </si>
  <si>
    <t>I deleted null values using delete option.</t>
  </si>
  <si>
    <t>Applied Proper Folrmula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</si>
  <si>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</si>
  <si>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</si>
  <si>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</si>
  <si>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</si>
  <si>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</si>
  <si>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</si>
  <si>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</si>
  <si>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</si>
  <si>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</si>
  <si>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</si>
  <si>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</si>
  <si>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</si>
  <si>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Unique applied</t>
  </si>
  <si>
    <t>Xlookup Applied</t>
  </si>
  <si>
    <t>we have  filter  option  also to remove null values .</t>
  </si>
  <si>
    <t>Duplicates Deleted</t>
  </si>
  <si>
    <t>Product Brand</t>
  </si>
  <si>
    <t>Separated manufacturing date and country code by Splitting</t>
  </si>
  <si>
    <t>Applied conditional formatting for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</si>
</sst>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&quot;₹&quot;\ #,##0.00"/>
  </numFmts>
  <fonts count="1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sz val="10"/>
      <color theme="4" tint="-0.249977111117893"/>
      <name val="Arial"/>
      <family val="2"/>
    </font>
    <font>
      <sz val="10"/>
      <color rgb="FF000000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theme="1"/>
      <name val="Arial"/>
      <family val="2"/>
    </font>
    <font>
      <sz val="12"/>
      <color rgb="FFFF0000"/>
      <name val="Arial"/>
      <family val="2"/>
      <scheme val="minor"/>
    </font>
    <font>
      <i/>
      <sz val="11"/>
      <color theme="4" tint="-0.249977111117893"/>
      <name val="Arial"/>
      <family val="2"/>
      <scheme val="minor"/>
    </font>
    <font>
      <b/>
      <i/>
      <sz val="10"/>
      <color rgb="FFFF0000"/>
      <name val="Arial"/>
      <family val="2"/>
      <scheme val="minor"/>
    </font>
    <font>
      <sz val="10"/>
      <color theme="5" tint="-0.249977111117893"/>
      <name val="Arial"/>
      <family val="2"/>
      <scheme val="minor"/>
    </font>
    <font>
      <sz val="10"/>
      <color rgb="FFFF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C000"/>
        <bgColor rgb="FFE0F7FA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rgb="FFE0F7FA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10" fillId="0" borderId="0" xfId="0" applyFont="1"/>
    <xf numFmtId="0" fontId="8" fillId="0" borderId="0" xfId="0" applyFont="1"/>
    <xf numFmtId="0" fontId="8" fillId="6" borderId="0" xfId="0" applyFont="1" applyFill="1"/>
    <xf numFmtId="0" fontId="5" fillId="7" borderId="0" xfId="0" applyFont="1" applyFill="1"/>
    <xf numFmtId="0" fontId="12" fillId="2" borderId="0" xfId="0" applyFont="1" applyFill="1" applyAlignment="1">
      <alignment horizontal="center"/>
    </xf>
    <xf numFmtId="16" fontId="0" fillId="0" borderId="0" xfId="0" applyNumberFormat="1"/>
    <xf numFmtId="0" fontId="13" fillId="0" borderId="0" xfId="0" applyFont="1"/>
    <xf numFmtId="8" fontId="5" fillId="0" borderId="0" xfId="0" applyNumberFormat="1" applyFont="1"/>
    <xf numFmtId="8" fontId="5" fillId="3" borderId="0" xfId="0" applyNumberFormat="1" applyFont="1" applyFill="1"/>
    <xf numFmtId="8" fontId="11" fillId="5" borderId="0" xfId="0" applyNumberFormat="1" applyFont="1" applyFill="1"/>
    <xf numFmtId="8" fontId="9" fillId="4" borderId="0" xfId="0" applyNumberFormat="1" applyFont="1" applyFill="1"/>
    <xf numFmtId="164" fontId="5" fillId="0" borderId="0" xfId="0" applyNumberFormat="1" applyFont="1"/>
    <xf numFmtId="164" fontId="5" fillId="3" borderId="0" xfId="0" applyNumberFormat="1" applyFont="1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14" fontId="0" fillId="0" borderId="0" xfId="0" applyNumberFormat="1"/>
    <xf numFmtId="0" fontId="17" fillId="0" borderId="0" xfId="0" applyFont="1"/>
    <xf numFmtId="14" fontId="10" fillId="0" borderId="0" xfId="0" applyNumberFormat="1" applyFont="1"/>
    <xf numFmtId="0" fontId="1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F7" sqref="F7"/>
    </sheetView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E671-B8AA-48AA-8ED7-3C4136A10143}">
  <sheetPr filterMode="1"/>
  <dimension ref="A1:J42"/>
  <sheetViews>
    <sheetView zoomScale="130" zoomScaleNormal="130" workbookViewId="0">
      <selection activeCell="I5" sqref="I5"/>
    </sheetView>
  </sheetViews>
  <sheetFormatPr defaultRowHeight="12.5" x14ac:dyDescent="0.25"/>
  <cols>
    <col min="1" max="1" width="12.36328125" customWidth="1"/>
    <col min="2" max="2" width="13.54296875" customWidth="1"/>
    <col min="3" max="3" width="11.81640625" customWidth="1"/>
    <col min="4" max="4" width="9.81640625" customWidth="1"/>
    <col min="6" max="6" width="12.6328125" customWidth="1"/>
    <col min="7" max="7" width="10" customWidth="1"/>
    <col min="8" max="8" width="10.08984375" bestFit="1" customWidth="1"/>
    <col min="10" max="10" width="10.08984375" bestFit="1" customWidth="1"/>
  </cols>
  <sheetData>
    <row r="1" spans="1:10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0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  <c r="G2" s="14">
        <v>45685</v>
      </c>
      <c r="H2" s="27" t="s">
        <v>121</v>
      </c>
      <c r="I2" s="14"/>
      <c r="J2" s="25"/>
    </row>
    <row r="3" spans="1:10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G3" s="14">
        <v>45703</v>
      </c>
      <c r="H3" s="27" t="s">
        <v>121</v>
      </c>
    </row>
    <row r="4" spans="1:10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G4" s="14">
        <v>45719</v>
      </c>
      <c r="H4" s="27" t="s">
        <v>121</v>
      </c>
    </row>
    <row r="5" spans="1:10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G5" s="14">
        <v>45758</v>
      </c>
      <c r="H5" s="27" t="s">
        <v>121</v>
      </c>
    </row>
    <row r="6" spans="1:10" hidden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0" hidden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0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  <c r="G8" s="14">
        <v>45857</v>
      </c>
      <c r="H8" s="27" t="s">
        <v>122</v>
      </c>
    </row>
    <row r="9" spans="1:10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  <c r="G9" s="14">
        <v>45892</v>
      </c>
      <c r="H9" s="27" t="s">
        <v>122</v>
      </c>
    </row>
    <row r="10" spans="1:10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  <c r="G10" s="14">
        <v>45905</v>
      </c>
      <c r="H10" s="27" t="s">
        <v>122</v>
      </c>
    </row>
    <row r="11" spans="1:10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  <c r="G11" s="14">
        <v>45944</v>
      </c>
      <c r="H11" s="27" t="s">
        <v>122</v>
      </c>
    </row>
    <row r="12" spans="1:10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  <c r="G12" s="14">
        <v>45825</v>
      </c>
      <c r="H12" s="27" t="s">
        <v>123</v>
      </c>
    </row>
    <row r="13" spans="1:10" hidden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0" hidden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0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  <c r="G15" s="14">
        <v>45706</v>
      </c>
      <c r="H15" s="27" t="s">
        <v>126</v>
      </c>
    </row>
    <row r="16" spans="1:10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  <c r="G16" s="14">
        <v>45763</v>
      </c>
      <c r="H16" s="27" t="s">
        <v>127</v>
      </c>
    </row>
    <row r="17" spans="1:8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  <c r="G17" s="14">
        <v>45890</v>
      </c>
      <c r="H17" s="27" t="s">
        <v>126</v>
      </c>
    </row>
    <row r="18" spans="1:8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  <c r="G18" s="14">
        <v>45889</v>
      </c>
      <c r="H18" s="27" t="s">
        <v>128</v>
      </c>
    </row>
    <row r="19" spans="1:8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  <c r="G19" s="14">
        <v>45684</v>
      </c>
      <c r="H19" s="27" t="s">
        <v>129</v>
      </c>
    </row>
    <row r="20" spans="1:8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  <c r="G20" s="14">
        <v>45717</v>
      </c>
      <c r="H20" s="27" t="s">
        <v>122</v>
      </c>
    </row>
    <row r="21" spans="1:8" hidden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8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  <c r="G22" s="14">
        <v>45791</v>
      </c>
      <c r="H22" s="27" t="s">
        <v>130</v>
      </c>
    </row>
    <row r="23" spans="1:8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  <c r="G23" s="14">
        <v>45666</v>
      </c>
      <c r="H23" s="27" t="s">
        <v>126</v>
      </c>
    </row>
    <row r="24" spans="1:8" hidden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8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  <c r="G25" s="14">
        <v>45890</v>
      </c>
      <c r="H25" s="27" t="s">
        <v>126</v>
      </c>
    </row>
    <row r="26" spans="1:8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  <c r="G26" s="14">
        <v>45929</v>
      </c>
      <c r="H26" s="27" t="s">
        <v>126</v>
      </c>
    </row>
    <row r="27" spans="1:8" hidden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8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  <c r="G28" s="14">
        <v>45849</v>
      </c>
      <c r="H28" s="27" t="s">
        <v>126</v>
      </c>
    </row>
    <row r="29" spans="1:8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  <c r="G29" s="14">
        <v>45763</v>
      </c>
      <c r="H29" s="27" t="s">
        <v>127</v>
      </c>
    </row>
    <row r="30" spans="1:8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  <c r="G30" s="14">
        <v>45723</v>
      </c>
      <c r="H30" s="27" t="s">
        <v>126</v>
      </c>
    </row>
    <row r="31" spans="1:8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  <c r="G31" s="14">
        <v>45760</v>
      </c>
      <c r="H31" s="27" t="s">
        <v>126</v>
      </c>
    </row>
    <row r="32" spans="1:8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  <c r="G32" s="14">
        <v>45801</v>
      </c>
      <c r="H32" s="27" t="s">
        <v>126</v>
      </c>
    </row>
    <row r="33" spans="1:8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  <c r="G33" s="14">
        <v>45993</v>
      </c>
      <c r="H33" s="27" t="s">
        <v>126</v>
      </c>
    </row>
    <row r="34" spans="1:8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  <c r="G34" s="14">
        <v>45825</v>
      </c>
      <c r="H34" s="27" t="s">
        <v>123</v>
      </c>
    </row>
    <row r="35" spans="1:8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  <c r="G35" s="14">
        <v>45847</v>
      </c>
      <c r="H35" s="27" t="s">
        <v>132</v>
      </c>
    </row>
    <row r="37" spans="1:8" x14ac:dyDescent="0.25">
      <c r="B37" t="s">
        <v>117</v>
      </c>
    </row>
    <row r="39" spans="1:8" x14ac:dyDescent="0.25">
      <c r="A39">
        <v>1</v>
      </c>
      <c r="B39" s="26" t="s">
        <v>118</v>
      </c>
    </row>
    <row r="41" spans="1:8" x14ac:dyDescent="0.25">
      <c r="B41" t="s">
        <v>119</v>
      </c>
    </row>
    <row r="42" spans="1:8" x14ac:dyDescent="0.25">
      <c r="B42" s="9" t="s">
        <v>135</v>
      </c>
    </row>
  </sheetData>
  <autoFilter ref="A1:F35" xr:uid="{7F7EE671-B8AA-48AA-8ED7-3C4136A10143}">
    <filterColumn colId="3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conditionalFormatting sqref="D2:D35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{BC23036A-3759-40F0-AF53-D1D71D0A35DD}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23036A-3759-40F0-AF53-D1D71D0A35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workbookViewId="0">
      <selection activeCell="K6" sqref="A1:XFD1048576"/>
    </sheetView>
  </sheetViews>
  <sheetFormatPr defaultColWidth="12.6328125" defaultRowHeight="15" customHeight="1" x14ac:dyDescent="0.25"/>
  <cols>
    <col min="1" max="6" width="12.6328125" customWidth="1"/>
    <col min="7" max="7" width="16.36328125" customWidth="1"/>
    <col min="8" max="8" width="16.816406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H1" s="13" t="s">
        <v>136</v>
      </c>
    </row>
    <row r="2" spans="1:16" ht="15.75" customHeight="1" x14ac:dyDescent="0.3">
      <c r="A2" s="10" t="s">
        <v>25</v>
      </c>
      <c r="B2" s="5" t="s">
        <v>26</v>
      </c>
      <c r="C2" s="28" t="s">
        <v>27</v>
      </c>
      <c r="D2" s="20">
        <v>1000</v>
      </c>
      <c r="E2" s="5">
        <v>30</v>
      </c>
      <c r="F2" s="5" t="s">
        <v>28</v>
      </c>
      <c r="G2" s="25">
        <v>45685</v>
      </c>
      <c r="H2" s="10" t="s">
        <v>25</v>
      </c>
      <c r="I2" s="9" t="s">
        <v>121</v>
      </c>
      <c r="J2" s="14"/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21">
        <v>80</v>
      </c>
      <c r="E3" s="8">
        <v>15</v>
      </c>
      <c r="F3" s="8" t="s">
        <v>32</v>
      </c>
      <c r="G3" s="25">
        <v>45703</v>
      </c>
      <c r="H3" s="8" t="s">
        <v>29</v>
      </c>
      <c r="I3" s="9" t="s">
        <v>121</v>
      </c>
      <c r="J3" s="14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20">
        <v>130</v>
      </c>
      <c r="E4" s="5">
        <v>40</v>
      </c>
      <c r="F4" s="5" t="s">
        <v>36</v>
      </c>
      <c r="G4" s="25">
        <v>45719</v>
      </c>
      <c r="H4" s="5" t="s">
        <v>33</v>
      </c>
      <c r="I4" s="9" t="s">
        <v>121</v>
      </c>
      <c r="J4" s="14"/>
      <c r="K4" s="10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21">
        <v>900</v>
      </c>
      <c r="E5" s="8">
        <v>25</v>
      </c>
      <c r="F5" s="8" t="s">
        <v>28</v>
      </c>
      <c r="G5" s="25">
        <v>45758</v>
      </c>
      <c r="H5" s="8" t="s">
        <v>37</v>
      </c>
      <c r="I5" s="9" t="s">
        <v>121</v>
      </c>
      <c r="J5" s="14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16">
        <v>70</v>
      </c>
      <c r="E6" s="5">
        <v>20</v>
      </c>
      <c r="F6" s="5"/>
      <c r="G6" s="25">
        <v>45799</v>
      </c>
      <c r="H6" s="5" t="s">
        <v>40</v>
      </c>
      <c r="I6" s="9" t="s">
        <v>121</v>
      </c>
      <c r="J6" s="14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17"/>
      <c r="E7" s="8">
        <v>45</v>
      </c>
      <c r="F7" s="8" t="s">
        <v>46</v>
      </c>
      <c r="G7" s="25">
        <v>45815</v>
      </c>
      <c r="H7" s="8" t="s">
        <v>43</v>
      </c>
      <c r="I7" s="9" t="s">
        <v>122</v>
      </c>
      <c r="J7" s="14"/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16">
        <v>30</v>
      </c>
      <c r="E8" s="5">
        <v>5</v>
      </c>
      <c r="F8" s="5" t="s">
        <v>32</v>
      </c>
      <c r="G8" s="25">
        <v>45857</v>
      </c>
      <c r="H8" s="5" t="s">
        <v>47</v>
      </c>
      <c r="I8" s="9" t="s">
        <v>122</v>
      </c>
      <c r="J8" s="14"/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17">
        <v>90</v>
      </c>
      <c r="E9" s="8">
        <v>35</v>
      </c>
      <c r="F9" s="8" t="s">
        <v>36</v>
      </c>
      <c r="G9" s="25">
        <v>45892</v>
      </c>
      <c r="H9" s="8" t="s">
        <v>50</v>
      </c>
      <c r="I9" s="9" t="s">
        <v>122</v>
      </c>
      <c r="J9" s="14"/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16">
        <v>500</v>
      </c>
      <c r="E10" s="5">
        <v>50</v>
      </c>
      <c r="F10" s="5" t="s">
        <v>28</v>
      </c>
      <c r="G10" s="25">
        <v>45905</v>
      </c>
      <c r="H10" s="5" t="s">
        <v>53</v>
      </c>
      <c r="I10" s="9" t="s">
        <v>122</v>
      </c>
      <c r="J10" s="14"/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17">
        <v>130</v>
      </c>
      <c r="E11" s="8">
        <v>10</v>
      </c>
      <c r="F11" s="8" t="s">
        <v>59</v>
      </c>
      <c r="G11" s="25">
        <v>45944</v>
      </c>
      <c r="H11" s="8" t="s">
        <v>56</v>
      </c>
      <c r="I11" s="9" t="s">
        <v>122</v>
      </c>
      <c r="J11" s="14"/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16">
        <v>950</v>
      </c>
      <c r="E12" s="5">
        <v>25</v>
      </c>
      <c r="F12" s="5" t="s">
        <v>28</v>
      </c>
      <c r="G12" s="25">
        <v>45825</v>
      </c>
      <c r="H12" s="5" t="s">
        <v>60</v>
      </c>
      <c r="I12" s="9" t="s">
        <v>123</v>
      </c>
      <c r="J12" s="14"/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17">
        <v>90</v>
      </c>
      <c r="E13" s="8">
        <v>40</v>
      </c>
      <c r="F13" s="8"/>
      <c r="G13" s="25">
        <v>45986</v>
      </c>
      <c r="H13" s="8" t="s">
        <v>63</v>
      </c>
      <c r="I13" s="9" t="s">
        <v>124</v>
      </c>
      <c r="J13" s="14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16">
        <v>120</v>
      </c>
      <c r="E14" s="5">
        <v>35</v>
      </c>
      <c r="F14" s="5"/>
      <c r="G14" s="25">
        <v>45999</v>
      </c>
      <c r="H14" s="5" t="s">
        <v>64</v>
      </c>
      <c r="I14" s="9" t="s">
        <v>125</v>
      </c>
      <c r="J14" s="14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17">
        <v>150</v>
      </c>
      <c r="E15" s="8">
        <v>15</v>
      </c>
      <c r="F15" s="8" t="s">
        <v>46</v>
      </c>
      <c r="G15" s="25">
        <v>45706</v>
      </c>
      <c r="H15" s="8" t="s">
        <v>66</v>
      </c>
      <c r="I15" s="9" t="s">
        <v>126</v>
      </c>
      <c r="J15" s="14"/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16">
        <v>250</v>
      </c>
      <c r="E16" s="5">
        <v>20</v>
      </c>
      <c r="F16" s="5" t="s">
        <v>46</v>
      </c>
      <c r="G16" s="25">
        <v>45763</v>
      </c>
      <c r="H16" s="5" t="s">
        <v>69</v>
      </c>
      <c r="I16" s="9" t="s">
        <v>127</v>
      </c>
      <c r="J16" s="14"/>
    </row>
    <row r="17" spans="1:10" ht="15.75" customHeight="1" x14ac:dyDescent="0.25">
      <c r="A17" s="8" t="s">
        <v>72</v>
      </c>
      <c r="B17" s="8" t="s">
        <v>73</v>
      </c>
      <c r="C17" s="8" t="s">
        <v>74</v>
      </c>
      <c r="D17" s="17">
        <v>50</v>
      </c>
      <c r="E17" s="8">
        <v>35</v>
      </c>
      <c r="F17" s="8" t="s">
        <v>75</v>
      </c>
      <c r="G17" s="25">
        <v>45890</v>
      </c>
      <c r="H17" s="8" t="s">
        <v>72</v>
      </c>
      <c r="I17" s="9" t="s">
        <v>126</v>
      </c>
      <c r="J17" s="14"/>
    </row>
    <row r="18" spans="1:10" ht="15.75" customHeight="1" x14ac:dyDescent="0.25">
      <c r="A18" s="5" t="s">
        <v>76</v>
      </c>
      <c r="B18" s="5" t="s">
        <v>67</v>
      </c>
      <c r="C18" s="5" t="s">
        <v>77</v>
      </c>
      <c r="D18" s="16">
        <v>160</v>
      </c>
      <c r="E18" s="5">
        <v>15</v>
      </c>
      <c r="F18" s="5" t="s">
        <v>46</v>
      </c>
      <c r="G18" s="25">
        <v>45889</v>
      </c>
      <c r="H18" s="5" t="s">
        <v>76</v>
      </c>
      <c r="I18" s="9" t="s">
        <v>128</v>
      </c>
      <c r="J18" s="14"/>
    </row>
    <row r="19" spans="1:10" ht="15.75" customHeight="1" x14ac:dyDescent="0.25">
      <c r="A19" s="8" t="s">
        <v>78</v>
      </c>
      <c r="B19" s="8" t="s">
        <v>26</v>
      </c>
      <c r="C19" s="8" t="s">
        <v>79</v>
      </c>
      <c r="D19" s="17">
        <v>980</v>
      </c>
      <c r="E19" s="8">
        <v>10</v>
      </c>
      <c r="F19" s="8" t="s">
        <v>28</v>
      </c>
      <c r="G19" s="25">
        <v>45684</v>
      </c>
      <c r="H19" s="8" t="s">
        <v>78</v>
      </c>
      <c r="I19" s="9" t="s">
        <v>129</v>
      </c>
      <c r="J19" s="14"/>
    </row>
    <row r="20" spans="1:10" ht="15.75" customHeight="1" x14ac:dyDescent="0.25">
      <c r="A20" s="5" t="s">
        <v>80</v>
      </c>
      <c r="B20" s="5" t="s">
        <v>81</v>
      </c>
      <c r="C20" s="5" t="s">
        <v>82</v>
      </c>
      <c r="D20" s="16">
        <v>150</v>
      </c>
      <c r="E20" s="5">
        <v>15</v>
      </c>
      <c r="F20" s="5" t="s">
        <v>32</v>
      </c>
      <c r="G20" s="25">
        <v>45717</v>
      </c>
      <c r="H20" s="5" t="s">
        <v>80</v>
      </c>
      <c r="I20" s="9" t="s">
        <v>122</v>
      </c>
      <c r="J20" s="14"/>
    </row>
    <row r="21" spans="1:10" ht="15.75" customHeight="1" x14ac:dyDescent="0.25">
      <c r="A21" s="8" t="s">
        <v>83</v>
      </c>
      <c r="B21" s="8" t="s">
        <v>84</v>
      </c>
      <c r="C21" s="8" t="s">
        <v>85</v>
      </c>
      <c r="D21" s="17"/>
      <c r="E21" s="8">
        <v>10</v>
      </c>
      <c r="F21" s="8" t="s">
        <v>59</v>
      </c>
      <c r="G21" s="25">
        <v>45883</v>
      </c>
      <c r="H21" s="8" t="s">
        <v>83</v>
      </c>
      <c r="I21" s="9" t="s">
        <v>121</v>
      </c>
      <c r="J21" s="14"/>
    </row>
    <row r="22" spans="1:10" ht="15.75" customHeight="1" x14ac:dyDescent="0.25">
      <c r="A22" s="5" t="s">
        <v>86</v>
      </c>
      <c r="B22" s="5" t="s">
        <v>87</v>
      </c>
      <c r="C22" s="5" t="s">
        <v>88</v>
      </c>
      <c r="D22" s="16">
        <v>700</v>
      </c>
      <c r="E22" s="5">
        <v>50</v>
      </c>
      <c r="F22" s="5" t="s">
        <v>28</v>
      </c>
      <c r="G22" s="25">
        <v>45791</v>
      </c>
      <c r="H22" s="5" t="s">
        <v>86</v>
      </c>
      <c r="I22" s="9" t="s">
        <v>130</v>
      </c>
      <c r="J22" s="14"/>
    </row>
    <row r="23" spans="1:10" ht="15.75" customHeight="1" x14ac:dyDescent="0.25">
      <c r="A23" s="8" t="s">
        <v>89</v>
      </c>
      <c r="B23" s="8" t="s">
        <v>90</v>
      </c>
      <c r="C23" s="8" t="s">
        <v>91</v>
      </c>
      <c r="D23" s="17">
        <v>80</v>
      </c>
      <c r="E23" s="8">
        <v>20</v>
      </c>
      <c r="F23" s="8" t="s">
        <v>36</v>
      </c>
      <c r="G23" s="25">
        <v>45666</v>
      </c>
      <c r="H23" s="8" t="s">
        <v>89</v>
      </c>
      <c r="I23" s="9" t="s">
        <v>126</v>
      </c>
      <c r="J23" s="14"/>
    </row>
    <row r="24" spans="1:10" ht="15.75" customHeight="1" x14ac:dyDescent="0.25">
      <c r="A24" s="5" t="s">
        <v>92</v>
      </c>
      <c r="B24" s="5" t="s">
        <v>93</v>
      </c>
      <c r="C24" s="5" t="s">
        <v>94</v>
      </c>
      <c r="D24" s="16">
        <v>150</v>
      </c>
      <c r="E24" s="5">
        <v>30</v>
      </c>
      <c r="F24" s="5"/>
      <c r="G24" s="25">
        <v>45857</v>
      </c>
      <c r="H24" s="5" t="s">
        <v>92</v>
      </c>
      <c r="I24" s="9" t="s">
        <v>131</v>
      </c>
      <c r="J24" s="14"/>
    </row>
    <row r="25" spans="1:10" ht="15.75" customHeight="1" x14ac:dyDescent="0.25">
      <c r="A25" s="8" t="s">
        <v>72</v>
      </c>
      <c r="B25" s="8" t="s">
        <v>73</v>
      </c>
      <c r="C25" s="8" t="s">
        <v>74</v>
      </c>
      <c r="D25" s="17">
        <v>50</v>
      </c>
      <c r="E25" s="8">
        <v>35</v>
      </c>
      <c r="F25" s="8" t="s">
        <v>75</v>
      </c>
      <c r="G25" s="25">
        <v>45890</v>
      </c>
      <c r="H25" s="5" t="s">
        <v>95</v>
      </c>
      <c r="I25" s="9" t="s">
        <v>126</v>
      </c>
      <c r="J25" s="14"/>
    </row>
    <row r="26" spans="1:10" ht="15.75" customHeight="1" x14ac:dyDescent="0.25">
      <c r="A26" s="5" t="s">
        <v>95</v>
      </c>
      <c r="B26" s="5" t="s">
        <v>96</v>
      </c>
      <c r="C26" s="5" t="s">
        <v>97</v>
      </c>
      <c r="D26" s="16">
        <v>800</v>
      </c>
      <c r="E26" s="5">
        <v>45</v>
      </c>
      <c r="F26" s="5" t="s">
        <v>28</v>
      </c>
      <c r="G26" s="25">
        <v>45929</v>
      </c>
      <c r="H26" s="8" t="s">
        <v>98</v>
      </c>
      <c r="I26" s="9" t="s">
        <v>126</v>
      </c>
      <c r="J26" s="14"/>
    </row>
    <row r="27" spans="1:10" ht="15.75" customHeight="1" x14ac:dyDescent="0.25">
      <c r="A27" s="8" t="s">
        <v>98</v>
      </c>
      <c r="B27" s="8" t="s">
        <v>81</v>
      </c>
      <c r="C27" s="8" t="s">
        <v>99</v>
      </c>
      <c r="D27" s="17"/>
      <c r="E27" s="8">
        <v>25</v>
      </c>
      <c r="F27" s="8" t="s">
        <v>32</v>
      </c>
      <c r="G27" s="25">
        <v>45811</v>
      </c>
      <c r="H27" s="5" t="s">
        <v>100</v>
      </c>
      <c r="I27" s="9" t="s">
        <v>126</v>
      </c>
      <c r="J27" s="14"/>
    </row>
    <row r="28" spans="1:10" ht="15.75" customHeight="1" x14ac:dyDescent="0.25">
      <c r="A28" s="5" t="s">
        <v>100</v>
      </c>
      <c r="B28" s="5" t="s">
        <v>51</v>
      </c>
      <c r="C28" s="5" t="s">
        <v>101</v>
      </c>
      <c r="D28" s="16">
        <v>400</v>
      </c>
      <c r="E28" s="5">
        <v>40</v>
      </c>
      <c r="F28" s="5" t="s">
        <v>36</v>
      </c>
      <c r="G28" s="25">
        <v>45849</v>
      </c>
      <c r="H28" s="5" t="s">
        <v>102</v>
      </c>
      <c r="I28" s="9" t="s">
        <v>126</v>
      </c>
      <c r="J28" s="14"/>
    </row>
    <row r="29" spans="1:10" ht="15.75" customHeight="1" x14ac:dyDescent="0.25">
      <c r="A29" s="8" t="s">
        <v>69</v>
      </c>
      <c r="B29" s="8" t="s">
        <v>70</v>
      </c>
      <c r="C29" s="8" t="s">
        <v>71</v>
      </c>
      <c r="D29" s="17">
        <v>250</v>
      </c>
      <c r="E29" s="8">
        <v>20</v>
      </c>
      <c r="F29" s="8" t="s">
        <v>46</v>
      </c>
      <c r="G29" s="25">
        <v>45763</v>
      </c>
      <c r="H29" s="8" t="s">
        <v>105</v>
      </c>
      <c r="I29" s="9" t="s">
        <v>127</v>
      </c>
      <c r="J29" s="14"/>
    </row>
    <row r="30" spans="1:10" ht="15.75" customHeight="1" x14ac:dyDescent="0.25">
      <c r="A30" s="5" t="s">
        <v>102</v>
      </c>
      <c r="B30" s="5" t="s">
        <v>103</v>
      </c>
      <c r="C30" s="5" t="s">
        <v>104</v>
      </c>
      <c r="D30" s="16">
        <v>60</v>
      </c>
      <c r="E30" s="5">
        <v>30</v>
      </c>
      <c r="F30" s="5" t="s">
        <v>32</v>
      </c>
      <c r="G30" s="25">
        <v>45723</v>
      </c>
      <c r="H30" s="5" t="s">
        <v>108</v>
      </c>
      <c r="I30" s="9" t="s">
        <v>126</v>
      </c>
      <c r="J30" s="14"/>
    </row>
    <row r="31" spans="1:10" ht="15.75" customHeight="1" x14ac:dyDescent="0.25">
      <c r="A31" s="8" t="s">
        <v>105</v>
      </c>
      <c r="B31" s="8" t="s">
        <v>106</v>
      </c>
      <c r="C31" s="8" t="s">
        <v>107</v>
      </c>
      <c r="D31" s="17">
        <v>40</v>
      </c>
      <c r="E31" s="8">
        <v>10</v>
      </c>
      <c r="F31" s="8" t="s">
        <v>36</v>
      </c>
      <c r="G31" s="25">
        <v>45760</v>
      </c>
      <c r="H31" s="8" t="s">
        <v>110</v>
      </c>
      <c r="I31" s="9" t="s">
        <v>126</v>
      </c>
      <c r="J31" s="14"/>
    </row>
    <row r="32" spans="1:10" ht="15.75" customHeight="1" x14ac:dyDescent="0.25">
      <c r="A32" s="5" t="s">
        <v>108</v>
      </c>
      <c r="B32" s="5" t="s">
        <v>93</v>
      </c>
      <c r="C32" s="5" t="s">
        <v>109</v>
      </c>
      <c r="D32" s="16">
        <v>130</v>
      </c>
      <c r="E32" s="5">
        <v>5</v>
      </c>
      <c r="F32" s="5" t="s">
        <v>28</v>
      </c>
      <c r="G32" s="25">
        <v>45801</v>
      </c>
      <c r="H32" s="8" t="s">
        <v>113</v>
      </c>
      <c r="I32" s="9" t="s">
        <v>126</v>
      </c>
      <c r="J32" s="14"/>
    </row>
    <row r="33" spans="1:10" ht="15.75" customHeight="1" x14ac:dyDescent="0.25">
      <c r="A33" s="8" t="s">
        <v>110</v>
      </c>
      <c r="B33" s="8" t="s">
        <v>111</v>
      </c>
      <c r="C33" s="8" t="s">
        <v>112</v>
      </c>
      <c r="D33" s="17">
        <v>50</v>
      </c>
      <c r="E33" s="8">
        <v>50</v>
      </c>
      <c r="F33" s="8" t="s">
        <v>32</v>
      </c>
      <c r="G33" s="25">
        <v>45993</v>
      </c>
      <c r="I33" s="9" t="s">
        <v>126</v>
      </c>
      <c r="J33" s="14"/>
    </row>
    <row r="34" spans="1:10" ht="15.75" customHeight="1" x14ac:dyDescent="0.25">
      <c r="A34" s="5" t="s">
        <v>60</v>
      </c>
      <c r="B34" s="5" t="s">
        <v>61</v>
      </c>
      <c r="C34" s="5" t="s">
        <v>62</v>
      </c>
      <c r="D34" s="16">
        <v>950</v>
      </c>
      <c r="E34" s="5">
        <v>25</v>
      </c>
      <c r="F34" s="5" t="s">
        <v>28</v>
      </c>
      <c r="G34" s="25">
        <v>45825</v>
      </c>
      <c r="I34" s="9" t="s">
        <v>123</v>
      </c>
      <c r="J34" s="14"/>
    </row>
    <row r="35" spans="1:10" ht="15.75" customHeight="1" x14ac:dyDescent="0.25">
      <c r="A35" s="8" t="s">
        <v>113</v>
      </c>
      <c r="B35" s="8" t="s">
        <v>114</v>
      </c>
      <c r="C35" s="8" t="s">
        <v>115</v>
      </c>
      <c r="D35" s="17">
        <v>100</v>
      </c>
      <c r="E35" s="8">
        <v>20</v>
      </c>
      <c r="F35" s="8" t="s">
        <v>75</v>
      </c>
      <c r="G35" s="25">
        <v>45847</v>
      </c>
      <c r="I35" s="9" t="s">
        <v>132</v>
      </c>
      <c r="J35" s="14"/>
    </row>
    <row r="36" spans="1:10" ht="15.75" customHeight="1" x14ac:dyDescent="0.25"/>
    <row r="37" spans="1:10" ht="15.75" customHeight="1" x14ac:dyDescent="0.35">
      <c r="G37" s="15" t="s">
        <v>138</v>
      </c>
    </row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customFormat="1" ht="15.75" customHeight="1" x14ac:dyDescent="0.25"/>
    <row r="50" customFormat="1" ht="15.75" customHeight="1" x14ac:dyDescent="0.25"/>
    <row r="51" customFormat="1" ht="15.75" customHeight="1" x14ac:dyDescent="0.25"/>
    <row r="52" customFormat="1" ht="15.75" customHeight="1" x14ac:dyDescent="0.25"/>
    <row r="53" customFormat="1" ht="15.75" customHeight="1" x14ac:dyDescent="0.25"/>
    <row r="54" customFormat="1" ht="15.75" customHeight="1" x14ac:dyDescent="0.25"/>
    <row r="55" customFormat="1" ht="15.75" customHeight="1" x14ac:dyDescent="0.25"/>
    <row r="56" customFormat="1" ht="15.75" customHeight="1" x14ac:dyDescent="0.25"/>
    <row r="57" customFormat="1" ht="15.75" customHeight="1" x14ac:dyDescent="0.25"/>
    <row r="58" customFormat="1" ht="15.75" customHeight="1" x14ac:dyDescent="0.25"/>
    <row r="59" customFormat="1" ht="15.75" customHeight="1" x14ac:dyDescent="0.25"/>
    <row r="60" customFormat="1" ht="15.75" customHeight="1" x14ac:dyDescent="0.25"/>
    <row r="61" customFormat="1" ht="15.75" customHeight="1" x14ac:dyDescent="0.25"/>
    <row r="62" customFormat="1" ht="15.75" customHeight="1" x14ac:dyDescent="0.25"/>
    <row r="63" customFormat="1" ht="15.75" customHeight="1" x14ac:dyDescent="0.25"/>
    <row r="64" customFormat="1" ht="15.75" customHeight="1" x14ac:dyDescent="0.25"/>
    <row r="65" customFormat="1" ht="15.75" customHeight="1" x14ac:dyDescent="0.25"/>
    <row r="66" customFormat="1" ht="15.75" customHeight="1" x14ac:dyDescent="0.25"/>
    <row r="67" customFormat="1" ht="15.75" customHeight="1" x14ac:dyDescent="0.25"/>
    <row r="68" customFormat="1" ht="15.75" customHeight="1" x14ac:dyDescent="0.25"/>
    <row r="69" customFormat="1" ht="15.75" customHeight="1" x14ac:dyDescent="0.25"/>
    <row r="70" customFormat="1" ht="15.75" customHeight="1" x14ac:dyDescent="0.25"/>
    <row r="71" customFormat="1" ht="15.75" customHeight="1" x14ac:dyDescent="0.25"/>
    <row r="72" customFormat="1" ht="15.75" customHeight="1" x14ac:dyDescent="0.25"/>
    <row r="73" customFormat="1" ht="15.75" customHeight="1" x14ac:dyDescent="0.25"/>
    <row r="74" customFormat="1" ht="15.75" customHeight="1" x14ac:dyDescent="0.25"/>
    <row r="75" customFormat="1" ht="15.75" customHeight="1" x14ac:dyDescent="0.25"/>
    <row r="76" customFormat="1" ht="15.75" customHeight="1" x14ac:dyDescent="0.25"/>
    <row r="77" customFormat="1" ht="15.75" customHeight="1" x14ac:dyDescent="0.25"/>
    <row r="78" customFormat="1" ht="15.75" customHeight="1" x14ac:dyDescent="0.25"/>
    <row r="79" customFormat="1" ht="15.75" customHeight="1" x14ac:dyDescent="0.25"/>
    <row r="80" customFormat="1" ht="15.75" customHeight="1" x14ac:dyDescent="0.25"/>
    <row r="81" customFormat="1" ht="15.75" customHeight="1" x14ac:dyDescent="0.25"/>
    <row r="82" customFormat="1" ht="15.75" customHeight="1" x14ac:dyDescent="0.25"/>
    <row r="83" customFormat="1" ht="15.75" customHeight="1" x14ac:dyDescent="0.25"/>
    <row r="84" customFormat="1" ht="15.75" customHeight="1" x14ac:dyDescent="0.25"/>
    <row r="85" customFormat="1" ht="15.75" customHeight="1" x14ac:dyDescent="0.25"/>
    <row r="86" customFormat="1" ht="15.75" customHeight="1" x14ac:dyDescent="0.25"/>
    <row r="87" customFormat="1" ht="15.75" customHeight="1" x14ac:dyDescent="0.25"/>
    <row r="88" customFormat="1" ht="15.75" customHeight="1" x14ac:dyDescent="0.25"/>
    <row r="89" customFormat="1" ht="15.75" customHeight="1" x14ac:dyDescent="0.25"/>
    <row r="90" customFormat="1" ht="15.75" customHeight="1" x14ac:dyDescent="0.25"/>
    <row r="91" customFormat="1" ht="15.75" customHeight="1" x14ac:dyDescent="0.25"/>
    <row r="92" customFormat="1" ht="15.75" customHeight="1" x14ac:dyDescent="0.25"/>
    <row r="93" customFormat="1" ht="15.75" customHeight="1" x14ac:dyDescent="0.25"/>
    <row r="94" customFormat="1" ht="15.75" customHeight="1" x14ac:dyDescent="0.25"/>
    <row r="95" customFormat="1" ht="15.75" customHeight="1" x14ac:dyDescent="0.25"/>
    <row r="96" customFormat="1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.75" customHeight="1" x14ac:dyDescent="0.25"/>
    <row r="1000" customFormat="1" ht="15.75" customHeight="1" x14ac:dyDescent="0.25"/>
  </sheetData>
  <autoFilter ref="A2:I35" xr:uid="{00000000-0001-0000-01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A1CA-5B6F-4BA3-AB94-95F871E09A9F}">
  <dimension ref="A1:J41"/>
  <sheetViews>
    <sheetView zoomScale="116" workbookViewId="0">
      <selection activeCell="H9" sqref="H9"/>
    </sheetView>
  </sheetViews>
  <sheetFormatPr defaultRowHeight="12.5" x14ac:dyDescent="0.25"/>
  <cols>
    <col min="1" max="1" width="12.81640625" customWidth="1"/>
    <col min="2" max="2" width="15.26953125" customWidth="1"/>
    <col min="3" max="3" width="11.08984375" customWidth="1"/>
    <col min="4" max="4" width="12.54296875" customWidth="1"/>
    <col min="5" max="5" width="9.54296875" customWidth="1"/>
    <col min="6" max="6" width="12.6328125" customWidth="1"/>
    <col min="7" max="7" width="13.90625" customWidth="1"/>
    <col min="8" max="8" width="14.08984375" customWidth="1"/>
    <col min="9" max="9" width="11.54296875" customWidth="1"/>
    <col min="10" max="10" width="20.36328125" customWidth="1"/>
  </cols>
  <sheetData>
    <row r="1" spans="1:10" ht="13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13" t="s">
        <v>120</v>
      </c>
      <c r="J1" s="13" t="s">
        <v>137</v>
      </c>
    </row>
    <row r="2" spans="1:10" x14ac:dyDescent="0.25">
      <c r="A2" s="5" t="s">
        <v>25</v>
      </c>
      <c r="B2" s="5" t="s">
        <v>26</v>
      </c>
      <c r="C2" s="5" t="s">
        <v>27</v>
      </c>
      <c r="D2" s="16">
        <v>1000</v>
      </c>
      <c r="E2" s="5">
        <v>30</v>
      </c>
      <c r="F2" s="5" t="s">
        <v>28</v>
      </c>
      <c r="G2" t="str" cm="1">
        <f t="array" ref="G2:G35">PROPER(B2:B35)</f>
        <v>Laptop</v>
      </c>
      <c r="H2" t="str" cm="1">
        <f t="array" ref="H2:H22">_xlfn.UNIQUE(B2:B35)</f>
        <v>laptop</v>
      </c>
      <c r="I2" t="str">
        <f>_xlfn.XLOOKUP(H2,B2:B35,F2:F35)</f>
        <v>Electronics</v>
      </c>
      <c r="J2" t="str">
        <f>_xlfn.CONCAT(C2,B2)</f>
        <v>Delllaptop</v>
      </c>
    </row>
    <row r="3" spans="1:10" x14ac:dyDescent="0.25">
      <c r="A3" s="8" t="s">
        <v>29</v>
      </c>
      <c r="B3" s="8" t="s">
        <v>30</v>
      </c>
      <c r="C3" s="8" t="s">
        <v>31</v>
      </c>
      <c r="D3" s="17">
        <v>80</v>
      </c>
      <c r="E3" s="8">
        <v>15</v>
      </c>
      <c r="F3" s="8" t="s">
        <v>32</v>
      </c>
      <c r="G3" t="str">
        <v>Sneakers</v>
      </c>
      <c r="H3" t="str">
        <v>Sneakers</v>
      </c>
      <c r="I3" t="str">
        <f t="shared" ref="I3:I22" si="0">_xlfn.XLOOKUP(H3,B3:B36,F3:F36)</f>
        <v>Fashion</v>
      </c>
      <c r="J3" t="str">
        <f t="shared" ref="J3:J34" si="1">_xlfn.CONCAT(C3,B3)</f>
        <v>NikeSneakers</v>
      </c>
    </row>
    <row r="4" spans="1:10" x14ac:dyDescent="0.25">
      <c r="A4" s="5" t="s">
        <v>33</v>
      </c>
      <c r="B4" s="5" t="s">
        <v>34</v>
      </c>
      <c r="C4" s="5" t="s">
        <v>35</v>
      </c>
      <c r="D4" s="16">
        <v>130</v>
      </c>
      <c r="E4" s="5">
        <v>40</v>
      </c>
      <c r="F4" s="5" t="s">
        <v>36</v>
      </c>
      <c r="G4" t="str">
        <v>Coffee Maker</v>
      </c>
      <c r="H4" t="str">
        <v>Coffee Maker</v>
      </c>
      <c r="I4" t="str">
        <f t="shared" si="0"/>
        <v>Kitchen</v>
      </c>
      <c r="J4" t="str">
        <f t="shared" si="1"/>
        <v>KeurigCoffee Maker</v>
      </c>
    </row>
    <row r="5" spans="1:10" x14ac:dyDescent="0.25">
      <c r="A5" s="8" t="s">
        <v>37</v>
      </c>
      <c r="B5" s="8" t="s">
        <v>38</v>
      </c>
      <c r="C5" s="8" t="s">
        <v>39</v>
      </c>
      <c r="D5" s="17">
        <v>900</v>
      </c>
      <c r="E5" s="8">
        <v>25</v>
      </c>
      <c r="F5" s="8" t="s">
        <v>28</v>
      </c>
      <c r="G5" t="str">
        <v>Smartphone</v>
      </c>
      <c r="H5" t="str">
        <v>smartphone</v>
      </c>
      <c r="I5" t="str">
        <f t="shared" si="0"/>
        <v>Electronics</v>
      </c>
      <c r="J5" t="str">
        <f t="shared" si="1"/>
        <v>Samsungsmartphone</v>
      </c>
    </row>
    <row r="6" spans="1:10" x14ac:dyDescent="0.25">
      <c r="A6" s="5" t="s">
        <v>40</v>
      </c>
      <c r="B6" s="5" t="s">
        <v>41</v>
      </c>
      <c r="C6" s="5" t="s">
        <v>42</v>
      </c>
      <c r="D6" s="16">
        <v>70</v>
      </c>
      <c r="E6" s="5">
        <v>20</v>
      </c>
      <c r="F6" s="12">
        <v>0</v>
      </c>
      <c r="G6" t="str">
        <v>Backpack</v>
      </c>
      <c r="H6" t="str">
        <v>Backpack</v>
      </c>
      <c r="I6">
        <f t="shared" si="0"/>
        <v>0</v>
      </c>
      <c r="J6" t="str">
        <f t="shared" si="1"/>
        <v>North FaceBackpack</v>
      </c>
    </row>
    <row r="7" spans="1:10" x14ac:dyDescent="0.25">
      <c r="A7" s="8" t="s">
        <v>43</v>
      </c>
      <c r="B7" s="8" t="s">
        <v>44</v>
      </c>
      <c r="C7" s="8" t="s">
        <v>45</v>
      </c>
      <c r="D7" s="18">
        <v>316.33333299999998</v>
      </c>
      <c r="E7" s="8">
        <v>45</v>
      </c>
      <c r="F7" s="8" t="s">
        <v>28</v>
      </c>
      <c r="G7" t="str">
        <v>Headphones</v>
      </c>
      <c r="H7" t="str">
        <v>Headphones</v>
      </c>
      <c r="I7" t="str">
        <f t="shared" si="0"/>
        <v>Electronics</v>
      </c>
      <c r="J7" t="str">
        <f t="shared" si="1"/>
        <v>SonyHeadphones</v>
      </c>
    </row>
    <row r="8" spans="1:10" x14ac:dyDescent="0.25">
      <c r="A8" s="5" t="s">
        <v>47</v>
      </c>
      <c r="B8" s="5" t="s">
        <v>48</v>
      </c>
      <c r="C8" s="5" t="s">
        <v>49</v>
      </c>
      <c r="D8" s="16">
        <v>30</v>
      </c>
      <c r="E8" s="5">
        <v>5</v>
      </c>
      <c r="F8" s="5" t="s">
        <v>32</v>
      </c>
      <c r="G8" t="str">
        <v>T-Shirt</v>
      </c>
      <c r="H8" t="str">
        <v>T-shirt</v>
      </c>
      <c r="I8" t="str">
        <f t="shared" si="0"/>
        <v>Fashion</v>
      </c>
      <c r="J8" t="str">
        <f t="shared" si="1"/>
        <v>AdidasT-shirt</v>
      </c>
    </row>
    <row r="9" spans="1:10" x14ac:dyDescent="0.25">
      <c r="A9" s="8" t="s">
        <v>50</v>
      </c>
      <c r="B9" s="8" t="s">
        <v>51</v>
      </c>
      <c r="C9" s="8" t="s">
        <v>52</v>
      </c>
      <c r="D9" s="17">
        <v>90</v>
      </c>
      <c r="E9" s="8">
        <v>35</v>
      </c>
      <c r="F9" s="8" t="s">
        <v>36</v>
      </c>
      <c r="G9" t="str">
        <v>Blender</v>
      </c>
      <c r="H9" t="str">
        <v>Blender</v>
      </c>
      <c r="I9" t="str">
        <f t="shared" si="0"/>
        <v>Kitchen</v>
      </c>
      <c r="J9" t="str">
        <f t="shared" si="1"/>
        <v>NinjaBlender</v>
      </c>
    </row>
    <row r="10" spans="1:10" x14ac:dyDescent="0.25">
      <c r="A10" s="5" t="s">
        <v>53</v>
      </c>
      <c r="B10" s="5" t="s">
        <v>54</v>
      </c>
      <c r="C10" s="5" t="s">
        <v>55</v>
      </c>
      <c r="D10" s="16">
        <v>500</v>
      </c>
      <c r="E10" s="5">
        <v>50</v>
      </c>
      <c r="F10" s="5" t="s">
        <v>28</v>
      </c>
      <c r="G10" t="str">
        <v>Tablet</v>
      </c>
      <c r="H10" t="str">
        <v>Tablet</v>
      </c>
      <c r="I10" t="str">
        <f t="shared" si="0"/>
        <v>Electronics</v>
      </c>
      <c r="J10" t="str">
        <f t="shared" si="1"/>
        <v>AppleTablet</v>
      </c>
    </row>
    <row r="11" spans="1:10" x14ac:dyDescent="0.25">
      <c r="A11" s="8" t="s">
        <v>56</v>
      </c>
      <c r="B11" s="8" t="s">
        <v>57</v>
      </c>
      <c r="C11" s="8" t="s">
        <v>58</v>
      </c>
      <c r="D11" s="17">
        <v>130</v>
      </c>
      <c r="E11" s="8">
        <v>10</v>
      </c>
      <c r="F11" s="8" t="s">
        <v>59</v>
      </c>
      <c r="G11" t="str">
        <v>Hiking Boots</v>
      </c>
      <c r="H11" t="str">
        <v>Hiking Boots</v>
      </c>
      <c r="I11" t="str">
        <f t="shared" si="0"/>
        <v>Outdoor</v>
      </c>
      <c r="J11" t="str">
        <f t="shared" si="1"/>
        <v>TimberlandHiking Boots</v>
      </c>
    </row>
    <row r="12" spans="1:10" x14ac:dyDescent="0.25">
      <c r="A12" s="5" t="s">
        <v>60</v>
      </c>
      <c r="B12" s="5" t="s">
        <v>61</v>
      </c>
      <c r="C12" s="5" t="s">
        <v>62</v>
      </c>
      <c r="D12" s="16">
        <v>950</v>
      </c>
      <c r="E12" s="5">
        <v>25</v>
      </c>
      <c r="F12" s="5" t="s">
        <v>28</v>
      </c>
      <c r="G12" t="str">
        <v>Laptop</v>
      </c>
      <c r="H12" t="str">
        <v>Smartwatch</v>
      </c>
      <c r="I12" t="str">
        <f t="shared" si="0"/>
        <v>Electronics</v>
      </c>
      <c r="J12" t="str">
        <f t="shared" si="1"/>
        <v>HPLaptop</v>
      </c>
    </row>
    <row r="13" spans="1:10" x14ac:dyDescent="0.25">
      <c r="A13" s="8" t="s">
        <v>63</v>
      </c>
      <c r="B13" s="8" t="s">
        <v>30</v>
      </c>
      <c r="C13" s="8" t="s">
        <v>49</v>
      </c>
      <c r="D13" s="17">
        <v>90</v>
      </c>
      <c r="E13" s="8">
        <v>40</v>
      </c>
      <c r="F13" s="11" t="str" cm="1">
        <f t="array" ref="F13">_xlfn.XLOOKUP(H3,_xlfn.ANCHORARRAY(H2),I2:I22)</f>
        <v>Fashion</v>
      </c>
      <c r="G13" t="str">
        <v>Sneakers</v>
      </c>
      <c r="H13" t="str">
        <v>Laptop Bag</v>
      </c>
      <c r="I13" t="str">
        <f t="shared" si="0"/>
        <v>Accessories</v>
      </c>
      <c r="J13" t="str">
        <f t="shared" si="1"/>
        <v>AdidasSneakers</v>
      </c>
    </row>
    <row r="14" spans="1:10" x14ac:dyDescent="0.25">
      <c r="A14" s="5" t="s">
        <v>64</v>
      </c>
      <c r="B14" s="5" t="s">
        <v>34</v>
      </c>
      <c r="C14" s="5" t="s">
        <v>65</v>
      </c>
      <c r="D14" s="16">
        <v>120</v>
      </c>
      <c r="E14" s="5">
        <v>35</v>
      </c>
      <c r="F14" s="12" t="str" cm="1">
        <f t="array" ref="F14">_xlfn.XLOOKUP(H4,_xlfn.ANCHORARRAY(H2),I2:I22)</f>
        <v>Kitchen</v>
      </c>
      <c r="G14" t="str">
        <v>Coffee Maker</v>
      </c>
      <c r="H14" t="str">
        <v>Sunglasses</v>
      </c>
      <c r="I14" t="str">
        <f t="shared" si="0"/>
        <v>Fashion</v>
      </c>
      <c r="J14" t="str">
        <f t="shared" si="1"/>
        <v>NespressoCoffee Maker</v>
      </c>
    </row>
    <row r="15" spans="1:10" x14ac:dyDescent="0.25">
      <c r="A15" s="8" t="s">
        <v>66</v>
      </c>
      <c r="B15" s="8" t="s">
        <v>67</v>
      </c>
      <c r="C15" s="8" t="s">
        <v>68</v>
      </c>
      <c r="D15" s="17">
        <v>150</v>
      </c>
      <c r="E15" s="8">
        <v>15</v>
      </c>
      <c r="F15" s="8" t="s">
        <v>28</v>
      </c>
      <c r="G15" t="str">
        <v>Smartwatch</v>
      </c>
      <c r="H15" t="str">
        <v>Camping Tent</v>
      </c>
      <c r="I15" t="str">
        <f t="shared" si="0"/>
        <v>Outdoor</v>
      </c>
      <c r="J15" t="str">
        <f t="shared" si="1"/>
        <v>FitbitSmartwatch</v>
      </c>
    </row>
    <row r="16" spans="1:10" x14ac:dyDescent="0.25">
      <c r="A16" s="5" t="s">
        <v>69</v>
      </c>
      <c r="B16" s="5" t="s">
        <v>70</v>
      </c>
      <c r="C16" s="5" t="s">
        <v>71</v>
      </c>
      <c r="D16" s="16">
        <v>250</v>
      </c>
      <c r="E16" s="5">
        <v>20</v>
      </c>
      <c r="F16" s="5" t="s">
        <v>28</v>
      </c>
      <c r="G16" t="str">
        <v>Headphones</v>
      </c>
      <c r="H16" t="str">
        <v>Camera</v>
      </c>
      <c r="I16" t="str">
        <f t="shared" si="0"/>
        <v>Electronics</v>
      </c>
      <c r="J16" t="str">
        <f t="shared" si="1"/>
        <v>Boseheadphones</v>
      </c>
    </row>
    <row r="17" spans="1:10" x14ac:dyDescent="0.25">
      <c r="A17" s="8" t="s">
        <v>72</v>
      </c>
      <c r="B17" s="8" t="s">
        <v>73</v>
      </c>
      <c r="C17" s="8" t="s">
        <v>74</v>
      </c>
      <c r="D17" s="17">
        <v>50</v>
      </c>
      <c r="E17" s="8">
        <v>35</v>
      </c>
      <c r="F17" s="8" t="s">
        <v>75</v>
      </c>
      <c r="G17" t="str">
        <v>Laptop Bag</v>
      </c>
      <c r="H17" t="str">
        <v>Microwave</v>
      </c>
      <c r="I17" t="str">
        <f t="shared" si="0"/>
        <v>Kitchen</v>
      </c>
      <c r="J17" t="str">
        <f t="shared" si="1"/>
        <v>SamsoniteLaptop Bag</v>
      </c>
    </row>
    <row r="18" spans="1:10" x14ac:dyDescent="0.25">
      <c r="A18" s="5" t="s">
        <v>76</v>
      </c>
      <c r="B18" s="5" t="s">
        <v>67</v>
      </c>
      <c r="C18" s="5" t="s">
        <v>77</v>
      </c>
      <c r="D18" s="16">
        <v>160</v>
      </c>
      <c r="E18" s="5">
        <v>15</v>
      </c>
      <c r="F18" s="5" t="s">
        <v>28</v>
      </c>
      <c r="G18" t="str">
        <v>Smartwatch</v>
      </c>
      <c r="H18" t="str">
        <v>Fitness Tracker</v>
      </c>
      <c r="I18">
        <f t="shared" si="0"/>
        <v>0</v>
      </c>
      <c r="J18" t="str">
        <f t="shared" si="1"/>
        <v>HuaweiSmartwatch</v>
      </c>
    </row>
    <row r="19" spans="1:10" x14ac:dyDescent="0.25">
      <c r="A19" s="8" t="s">
        <v>78</v>
      </c>
      <c r="B19" s="8" t="s">
        <v>26</v>
      </c>
      <c r="C19" s="8" t="s">
        <v>79</v>
      </c>
      <c r="D19" s="17">
        <v>980</v>
      </c>
      <c r="E19" s="8">
        <v>10</v>
      </c>
      <c r="F19" s="8" t="s">
        <v>28</v>
      </c>
      <c r="G19" t="str">
        <v>Laptop</v>
      </c>
      <c r="H19" t="str">
        <v>Dress</v>
      </c>
      <c r="I19" t="str">
        <f t="shared" si="0"/>
        <v>Fashion</v>
      </c>
      <c r="J19" t="str">
        <f t="shared" si="1"/>
        <v>Asuslaptop</v>
      </c>
    </row>
    <row r="20" spans="1:10" x14ac:dyDescent="0.25">
      <c r="A20" s="5" t="s">
        <v>80</v>
      </c>
      <c r="B20" s="5" t="s">
        <v>81</v>
      </c>
      <c r="C20" s="5" t="s">
        <v>82</v>
      </c>
      <c r="D20" s="16">
        <v>150</v>
      </c>
      <c r="E20" s="5">
        <v>15</v>
      </c>
      <c r="F20" s="5" t="s">
        <v>32</v>
      </c>
      <c r="G20" t="str">
        <v>Sunglasses</v>
      </c>
      <c r="H20" t="str">
        <v>Toaster</v>
      </c>
      <c r="I20" t="str">
        <f t="shared" si="0"/>
        <v>Kitchen</v>
      </c>
      <c r="J20" t="str">
        <f t="shared" si="1"/>
        <v>OakleySunglasses</v>
      </c>
    </row>
    <row r="21" spans="1:10" x14ac:dyDescent="0.25">
      <c r="A21" s="8" t="s">
        <v>83</v>
      </c>
      <c r="B21" s="8" t="s">
        <v>84</v>
      </c>
      <c r="C21" s="8" t="s">
        <v>85</v>
      </c>
      <c r="D21" s="19">
        <v>130</v>
      </c>
      <c r="E21" s="8">
        <v>10</v>
      </c>
      <c r="F21" s="8" t="s">
        <v>59</v>
      </c>
      <c r="G21" t="str">
        <v>Camping Tent</v>
      </c>
      <c r="H21" t="str">
        <v>Jeans</v>
      </c>
      <c r="I21" t="str">
        <f t="shared" si="0"/>
        <v>Fashion</v>
      </c>
      <c r="J21" t="str">
        <f t="shared" si="1"/>
        <v>ColemanCamping Tent</v>
      </c>
    </row>
    <row r="22" spans="1:10" x14ac:dyDescent="0.25">
      <c r="A22" s="5" t="s">
        <v>86</v>
      </c>
      <c r="B22" s="5" t="s">
        <v>87</v>
      </c>
      <c r="C22" s="5" t="s">
        <v>88</v>
      </c>
      <c r="D22" s="16">
        <v>700</v>
      </c>
      <c r="E22" s="5">
        <v>50</v>
      </c>
      <c r="F22" s="5" t="s">
        <v>28</v>
      </c>
      <c r="G22" t="str">
        <v>Camera</v>
      </c>
      <c r="H22" t="str">
        <v>Watch</v>
      </c>
      <c r="I22" t="str">
        <f t="shared" si="0"/>
        <v>Accessories</v>
      </c>
      <c r="J22" t="str">
        <f t="shared" si="1"/>
        <v>NikonCamera</v>
      </c>
    </row>
    <row r="23" spans="1:10" x14ac:dyDescent="0.25">
      <c r="A23" s="8" t="s">
        <v>89</v>
      </c>
      <c r="B23" s="8" t="s">
        <v>90</v>
      </c>
      <c r="C23" s="8" t="s">
        <v>91</v>
      </c>
      <c r="D23" s="17">
        <v>80</v>
      </c>
      <c r="E23" s="8">
        <v>20</v>
      </c>
      <c r="F23" s="8" t="s">
        <v>36</v>
      </c>
      <c r="G23" t="str">
        <v>Microwave</v>
      </c>
      <c r="J23" t="str">
        <f t="shared" si="1"/>
        <v>PanasonicMicrowave</v>
      </c>
    </row>
    <row r="24" spans="1:10" ht="14.5" x14ac:dyDescent="0.35">
      <c r="A24" s="5" t="s">
        <v>92</v>
      </c>
      <c r="B24" s="5" t="s">
        <v>93</v>
      </c>
      <c r="C24" s="5" t="s">
        <v>94</v>
      </c>
      <c r="D24" s="16">
        <v>150</v>
      </c>
      <c r="E24" s="5">
        <v>30</v>
      </c>
      <c r="F24" s="12">
        <v>0</v>
      </c>
      <c r="G24" t="str">
        <v>Fitness Tracker</v>
      </c>
      <c r="H24" s="22" t="s">
        <v>133</v>
      </c>
      <c r="I24" s="23" t="s">
        <v>134</v>
      </c>
      <c r="J24" t="str">
        <f t="shared" si="1"/>
        <v>XiaomiFitness Tracker</v>
      </c>
    </row>
    <row r="25" spans="1:10" x14ac:dyDescent="0.25">
      <c r="A25" s="8" t="s">
        <v>72</v>
      </c>
      <c r="B25" s="8" t="s">
        <v>73</v>
      </c>
      <c r="C25" s="8" t="s">
        <v>74</v>
      </c>
      <c r="D25" s="17">
        <v>50</v>
      </c>
      <c r="E25" s="8">
        <v>35</v>
      </c>
      <c r="F25" s="8" t="s">
        <v>75</v>
      </c>
      <c r="G25" t="str">
        <v>Laptop Bag</v>
      </c>
      <c r="J25" t="str">
        <f t="shared" si="1"/>
        <v>SamsoniteLaptop Bag</v>
      </c>
    </row>
    <row r="26" spans="1:10" x14ac:dyDescent="0.25">
      <c r="A26" s="5" t="s">
        <v>95</v>
      </c>
      <c r="B26" s="5" t="s">
        <v>96</v>
      </c>
      <c r="C26" s="5" t="s">
        <v>97</v>
      </c>
      <c r="D26" s="16">
        <v>800</v>
      </c>
      <c r="E26" s="5">
        <v>45</v>
      </c>
      <c r="F26" s="5" t="s">
        <v>28</v>
      </c>
      <c r="G26" t="str">
        <v>Smartphone</v>
      </c>
      <c r="J26" t="str">
        <f t="shared" si="1"/>
        <v>GoogleSmartphone</v>
      </c>
    </row>
    <row r="27" spans="1:10" x14ac:dyDescent="0.25">
      <c r="A27" s="8" t="s">
        <v>98</v>
      </c>
      <c r="B27" s="8" t="s">
        <v>81</v>
      </c>
      <c r="C27" s="8" t="s">
        <v>99</v>
      </c>
      <c r="D27" s="19">
        <v>266.21111110999999</v>
      </c>
      <c r="E27" s="8">
        <v>25</v>
      </c>
      <c r="F27" s="8" t="s">
        <v>32</v>
      </c>
      <c r="G27" t="str">
        <v>Sunglasses</v>
      </c>
      <c r="J27" t="str">
        <f t="shared" si="1"/>
        <v>Ray-BanSunglasses</v>
      </c>
    </row>
    <row r="28" spans="1:10" x14ac:dyDescent="0.25">
      <c r="A28" s="5" t="s">
        <v>100</v>
      </c>
      <c r="B28" s="5" t="s">
        <v>51</v>
      </c>
      <c r="C28" s="5" t="s">
        <v>101</v>
      </c>
      <c r="D28" s="16">
        <v>400</v>
      </c>
      <c r="E28" s="5">
        <v>40</v>
      </c>
      <c r="F28" s="5" t="s">
        <v>36</v>
      </c>
      <c r="G28" t="str">
        <v>Blender</v>
      </c>
      <c r="J28" t="str">
        <f t="shared" si="1"/>
        <v>VitamixBlender</v>
      </c>
    </row>
    <row r="29" spans="1:10" x14ac:dyDescent="0.25">
      <c r="A29" s="8" t="s">
        <v>69</v>
      </c>
      <c r="B29" s="8" t="s">
        <v>70</v>
      </c>
      <c r="C29" s="8" t="s">
        <v>71</v>
      </c>
      <c r="D29" s="17">
        <v>250</v>
      </c>
      <c r="E29" s="8">
        <v>20</v>
      </c>
      <c r="F29" s="8" t="s">
        <v>28</v>
      </c>
      <c r="G29" t="str">
        <v>Headphones</v>
      </c>
      <c r="J29" t="str">
        <f t="shared" si="1"/>
        <v>Boseheadphones</v>
      </c>
    </row>
    <row r="30" spans="1:10" x14ac:dyDescent="0.25">
      <c r="A30" s="5" t="s">
        <v>102</v>
      </c>
      <c r="B30" s="5" t="s">
        <v>103</v>
      </c>
      <c r="C30" s="5" t="s">
        <v>104</v>
      </c>
      <c r="D30" s="16">
        <v>60</v>
      </c>
      <c r="E30" s="5">
        <v>30</v>
      </c>
      <c r="F30" s="5" t="s">
        <v>32</v>
      </c>
      <c r="G30" t="str">
        <v>Dress</v>
      </c>
      <c r="J30" t="str">
        <f t="shared" si="1"/>
        <v>ZaraDress</v>
      </c>
    </row>
    <row r="31" spans="1:10" x14ac:dyDescent="0.25">
      <c r="A31" s="8" t="s">
        <v>105</v>
      </c>
      <c r="B31" s="8" t="s">
        <v>106</v>
      </c>
      <c r="C31" s="8" t="s">
        <v>107</v>
      </c>
      <c r="D31" s="17">
        <v>40</v>
      </c>
      <c r="E31" s="8">
        <v>10</v>
      </c>
      <c r="F31" s="8" t="s">
        <v>36</v>
      </c>
      <c r="G31" t="str">
        <v>Toaster</v>
      </c>
      <c r="J31" t="str">
        <f t="shared" si="1"/>
        <v>HamiltonToaster</v>
      </c>
    </row>
    <row r="32" spans="1:10" x14ac:dyDescent="0.25">
      <c r="A32" s="5" t="s">
        <v>108</v>
      </c>
      <c r="B32" s="5" t="s">
        <v>93</v>
      </c>
      <c r="C32" s="5" t="s">
        <v>109</v>
      </c>
      <c r="D32" s="16">
        <v>130</v>
      </c>
      <c r="E32" s="5">
        <v>5</v>
      </c>
      <c r="F32" s="5" t="s">
        <v>28</v>
      </c>
      <c r="G32" t="str">
        <v>Fitness Tracker</v>
      </c>
      <c r="J32" t="str">
        <f t="shared" si="1"/>
        <v>GarminFitness Tracker</v>
      </c>
    </row>
    <row r="33" spans="1:10" x14ac:dyDescent="0.25">
      <c r="A33" s="8" t="s">
        <v>110</v>
      </c>
      <c r="B33" s="8" t="s">
        <v>111</v>
      </c>
      <c r="C33" s="8" t="s">
        <v>112</v>
      </c>
      <c r="D33" s="17">
        <v>50</v>
      </c>
      <c r="E33" s="8">
        <v>50</v>
      </c>
      <c r="F33" s="8" t="s">
        <v>32</v>
      </c>
      <c r="G33" t="str">
        <v>Jeans</v>
      </c>
      <c r="J33" t="str">
        <f t="shared" si="1"/>
        <v>Levi'sJeans</v>
      </c>
    </row>
    <row r="34" spans="1:10" x14ac:dyDescent="0.25">
      <c r="A34" s="5" t="s">
        <v>60</v>
      </c>
      <c r="B34" s="5" t="s">
        <v>61</v>
      </c>
      <c r="C34" s="5" t="s">
        <v>62</v>
      </c>
      <c r="D34" s="16">
        <v>950</v>
      </c>
      <c r="E34" s="5">
        <v>25</v>
      </c>
      <c r="F34" s="5" t="s">
        <v>28</v>
      </c>
      <c r="G34" t="str">
        <v>Laptop</v>
      </c>
      <c r="J34" t="str">
        <f t="shared" si="1"/>
        <v>HPLaptop</v>
      </c>
    </row>
    <row r="35" spans="1:10" x14ac:dyDescent="0.25">
      <c r="A35" s="8" t="s">
        <v>113</v>
      </c>
      <c r="B35" s="8" t="s">
        <v>114</v>
      </c>
      <c r="C35" s="8" t="s">
        <v>115</v>
      </c>
      <c r="D35" s="17">
        <v>100</v>
      </c>
      <c r="E35" s="8">
        <v>20</v>
      </c>
      <c r="F35" s="8" t="s">
        <v>75</v>
      </c>
      <c r="G35" t="str">
        <v>Watch</v>
      </c>
    </row>
    <row r="37" spans="1:10" x14ac:dyDescent="0.25">
      <c r="C37" s="10" t="s">
        <v>116</v>
      </c>
      <c r="D37">
        <f>AVERAGE(D2:D34)</f>
        <v>309.16801345787883</v>
      </c>
    </row>
    <row r="38" spans="1:10" x14ac:dyDescent="0.25">
      <c r="F38" s="24" t="s">
        <v>139</v>
      </c>
    </row>
    <row r="39" spans="1:10" x14ac:dyDescent="0.25">
      <c r="D39" s="9">
        <f>AVERAGE(D11)</f>
        <v>130</v>
      </c>
    </row>
    <row r="41" spans="1:10" x14ac:dyDescent="0.25">
      <c r="D41">
        <f>AVERAGE(D3:D33)</f>
        <v>266.21111110032263</v>
      </c>
    </row>
  </sheetData>
  <autoFilter ref="A1:F35" xr:uid="{D95FA1CA-5B6F-4BA3-AB94-95F871E09A9F}"/>
  <conditionalFormatting sqref="D2:D35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{7BC137C1-3F72-409B-9D96-CB325DE2276A}</x14:id>
        </ext>
      </extLst>
    </cfRule>
  </conditionalFormatting>
  <conditionalFormatting sqref="F2:F35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C137C1-3F72-409B-9D96-CB325DE22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D2:D35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DELETE</vt:lpstr>
      <vt:lpstr>Dataset</vt:lpstr>
      <vt:lpstr>REPLACE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2025-12-03T17:11:39Z</dcterms:modified>
</cp:coreProperties>
</file>